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lda\3D water lake\"/>
    </mc:Choice>
  </mc:AlternateContent>
  <xr:revisionPtr revIDLastSave="0" documentId="8_{08B445D5-818C-4089-80EA-5FBA7A22C935}" xr6:coauthVersionLast="47" xr6:coauthVersionMax="47" xr10:uidLastSave="{00000000-0000-0000-0000-000000000000}"/>
  <bookViews>
    <workbookView xWindow="-108" yWindow="-108" windowWidth="23256" windowHeight="12456" xr2:uid="{E9896E5A-C228-4397-85B9-79427F02AF14}"/>
  </bookViews>
  <sheets>
    <sheet name="DFMEA" sheetId="1" r:id="rId1"/>
  </sheets>
  <definedNames>
    <definedName name="IQAS_1549C8038921456D85D0E3CBB450C7E1_1" localSheetId="0" hidden="1">DFMEA!$CW$5</definedName>
    <definedName name="IQAS_1549C8038921456D85D0E3CBB450C7E1_10" localSheetId="0" hidden="1">DFMEA!$C$4:$C$5</definedName>
    <definedName name="IQAS_1549C8038921456D85D0E3CBB450C7E1_11" localSheetId="0" hidden="1">DFMEA!$D$4:$D$5</definedName>
    <definedName name="IQAS_1549C8038921456D85D0E3CBB450C7E1_12" localSheetId="0" hidden="1">DFMEA!$E$4:$E$5</definedName>
    <definedName name="IQAS_1549C8038921456D85D0E3CBB450C7E1_13" localSheetId="0" hidden="1">DFMEA!$F$4:$F$5</definedName>
    <definedName name="IQAS_1549C8038921456D85D0E3CBB450C7E1_14" localSheetId="0" hidden="1">DFMEA!$G$4:$G$5</definedName>
    <definedName name="IQAS_1549C8038921456D85D0E3CBB450C7E1_15" localSheetId="0" hidden="1">DFMEA!$H$4:$H$5</definedName>
    <definedName name="IQAS_1549C8038921456D85D0E3CBB450C7E1_16" localSheetId="0" hidden="1">DFMEA!$I$5</definedName>
    <definedName name="IQAS_1549C8038921456D85D0E3CBB450C7E1_17" localSheetId="0" hidden="1">DFMEA!$J$5</definedName>
    <definedName name="IQAS_1549C8038921456D85D0E3CBB450C7E1_18" localSheetId="0" hidden="1">DFMEA!$K$5</definedName>
    <definedName name="IQAS_1549C8038921456D85D0E3CBB450C7E1_19" localSheetId="0" hidden="1">DFMEA!$L$5</definedName>
    <definedName name="IQAS_1549C8038921456D85D0E3CBB450C7E1_2" localSheetId="0" hidden="1">DFMEA!$CY$5</definedName>
    <definedName name="IQAS_1549C8038921456D85D0E3CBB450C7E1_20" localSheetId="0" hidden="1">DFMEA!$M$4:$M$5</definedName>
    <definedName name="IQAS_1549C8038921456D85D0E3CBB450C7E1_21" localSheetId="0" hidden="1">DFMEA!$R$5</definedName>
    <definedName name="IQAS_1549C8038921456D85D0E3CBB450C7E1_22" localSheetId="0" hidden="1">DFMEA!$S$5</definedName>
    <definedName name="IQAS_1549C8038921456D85D0E3CBB450C7E1_23" localSheetId="0" hidden="1">DFMEA!$T$5</definedName>
    <definedName name="IQAS_1549C8038921456D85D0E3CBB450C7E1_24" localSheetId="0" hidden="1">DFMEA!$U$5</definedName>
    <definedName name="IQAS_1549C8038921456D85D0E3CBB450C7E1_25" localSheetId="0" hidden="1">DFMEA!$N$5</definedName>
    <definedName name="IQAS_1549C8038921456D85D0E3CBB450C7E1_26" localSheetId="0" hidden="1">DFMEA!$O$5</definedName>
    <definedName name="IQAS_1549C8038921456D85D0E3CBB450C7E1_27" localSheetId="0" hidden="1">DFMEA!$P$5</definedName>
    <definedName name="IQAS_1549C8038921456D85D0E3CBB450C7E1_28" localSheetId="0" hidden="1">DFMEA!$Q$5</definedName>
    <definedName name="IQAS_1549C8038921456D85D0E3CBB450C7E1_3" localSheetId="0" hidden="1">DFMEA!$CZ$5</definedName>
    <definedName name="IQAS_1549C8038921456D85D0E3CBB450C7E1_4" localSheetId="0" hidden="1">DFMEA!$DA$5</definedName>
    <definedName name="IQAS_1549C8038921456D85D0E3CBB450C7E1_5" localSheetId="0" hidden="1">DFMEA!$DB$5</definedName>
    <definedName name="IQAS_1549C8038921456D85D0E3CBB450C7E1_6" localSheetId="0" hidden="1">DFMEA!$DC$5</definedName>
    <definedName name="IQAS_1549C8038921456D85D0E3CBB450C7E1_7" localSheetId="0" hidden="1">DFMEA!$CX$5</definedName>
    <definedName name="IQAS_1549C8038921456D85D0E3CBB450C7E1_8" localSheetId="0" hidden="1">DFMEA!$A$4:$A$5</definedName>
    <definedName name="IQAS_1549C8038921456D85D0E3CBB450C7E1_9" localSheetId="0" hidden="1">DFMEA!$B$4:$B$5</definedName>
    <definedName name="IQAS_D28147D33DCD448ABC9996DD21785202" localSheetId="0" hidden="1">DFMEA!$CW$14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M12" i="1"/>
  <c r="U13" i="1"/>
  <c r="M13" i="1"/>
  <c r="U11" i="1"/>
  <c r="M11" i="1"/>
  <c r="U8" i="1"/>
  <c r="M8" i="1"/>
  <c r="U10" i="1"/>
  <c r="M10" i="1"/>
  <c r="U9" i="1"/>
  <c r="M9" i="1"/>
  <c r="U7" i="1"/>
  <c r="M7" i="1"/>
  <c r="U6" i="1"/>
  <c r="M6" i="1"/>
</calcChain>
</file>

<file path=xl/sharedStrings.xml><?xml version="1.0" encoding="utf-8"?>
<sst xmlns="http://schemas.openxmlformats.org/spreadsheetml/2006/main" count="127" uniqueCount="114">
  <si>
    <t>Design Failure Mode and Effects Analysis (DFMEA)</t>
  </si>
  <si>
    <t>Product:</t>
  </si>
  <si>
    <t>Design Responsibility:</t>
  </si>
  <si>
    <t>FMEA No.:</t>
  </si>
  <si>
    <t>Model:</t>
  </si>
  <si>
    <t>Core Team:</t>
  </si>
  <si>
    <t>Date:</t>
  </si>
  <si>
    <t>Rev:</t>
  </si>
  <si>
    <t>Item</t>
  </si>
  <si>
    <t>Functions</t>
  </si>
  <si>
    <t>Requirement</t>
  </si>
  <si>
    <t>Failure 
Mode</t>
  </si>
  <si>
    <t>Effects</t>
  </si>
  <si>
    <t>Severity</t>
  </si>
  <si>
    <t>Class</t>
  </si>
  <si>
    <t>Causes</t>
  </si>
  <si>
    <t>Control Methods</t>
  </si>
  <si>
    <t>RPN</t>
  </si>
  <si>
    <t>Recommended Action</t>
  </si>
  <si>
    <t>Re-Evaluation</t>
  </si>
  <si>
    <t>Prevention Control</t>
  </si>
  <si>
    <t>Occurrence</t>
  </si>
  <si>
    <t>Detection Control</t>
  </si>
  <si>
    <t>Detection</t>
  </si>
  <si>
    <t>Action</t>
  </si>
  <si>
    <t>Responsibility</t>
  </si>
  <si>
    <t>Target Finish Date</t>
  </si>
  <si>
    <t>Actual Finish Date</t>
  </si>
  <si>
    <t>Item ID</t>
  </si>
  <si>
    <t>DataRow</t>
  </si>
  <si>
    <t>Function ID</t>
  </si>
  <si>
    <t>Requirement ID</t>
  </si>
  <si>
    <t>Failure Mode ID</t>
  </si>
  <si>
    <t>Cause ID</t>
  </si>
  <si>
    <t>Action ID</t>
  </si>
  <si>
    <t>bab79ec6-c2c9-4bd7-8206-b3df151f70b7</t>
  </si>
  <si>
    <t>Tempature sensor</t>
  </si>
  <si>
    <t>10b3060e-c705-4e7c-99d8-574536e6c803</t>
  </si>
  <si>
    <t>06eedab2-6729-48ea-9f2d-2c79ea5fb91c</t>
  </si>
  <si>
    <t>4e06e070-8de5-42c1-8c06-b71f3e0bc457</t>
  </si>
  <si>
    <t>15ed024c-0f75-42c5-88f9-3c90ea7048b1</t>
  </si>
  <si>
    <t>023deaa7-7960-4e9d-ae98-52caff8d1109</t>
  </si>
  <si>
    <t>Measure tempature</t>
  </si>
  <si>
    <t>Measure tempature accurately</t>
  </si>
  <si>
    <t>a9d176eb-60ec-44a3-a120-3c677d28d407</t>
  </si>
  <si>
    <t>1e894d23-8fb0-4582-865f-04fa09d8c571</t>
  </si>
  <si>
    <t>5324d3a7-1526-4770-a3fc-a548fd09503e</t>
  </si>
  <si>
    <t>be1ca008-85d6-490f-95ea-5370ae91e918</t>
  </si>
  <si>
    <t>d95ccf06-49bd-4c45-9d4d-d1074f6653b7</t>
  </si>
  <si>
    <t>b691f9f7-8c7d-4319-af7b-6e837da39c8f</t>
  </si>
  <si>
    <t>cec4c89f-dbba-42b1-88e4-2629cd22a7f2</t>
  </si>
  <si>
    <t>6d81eb20-53de-4e90-a0bf-60f049e4ea8b</t>
  </si>
  <si>
    <t>Send temperature</t>
  </si>
  <si>
    <t>Send accurate data</t>
  </si>
  <si>
    <t>Inaccurate readings</t>
  </si>
  <si>
    <t>No readings</t>
  </si>
  <si>
    <t>Sensor platform</t>
  </si>
  <si>
    <t>fdfcecae-ce7d-48dc-9765-f0b0ea144000</t>
  </si>
  <si>
    <t>1f621d03-71f9-4ed5-826f-f390d6cb6015</t>
  </si>
  <si>
    <t>A layer of coating around the probe from long exposure to water without cleaning</t>
  </si>
  <si>
    <t>Wipe the probe between measurements</t>
  </si>
  <si>
    <t>Visual inspection</t>
  </si>
  <si>
    <t>65a90bcf-c9df-4f9c-b94d-feb112b379ad</t>
  </si>
  <si>
    <t>9e7cc078-ecef-419c-b5ca-4b8732bf9d46</t>
  </si>
  <si>
    <t>0769edfb-0d15-4e39-8244-e9ebefc13665</t>
  </si>
  <si>
    <t>Exposed cables</t>
  </si>
  <si>
    <t>Fire may occur</t>
  </si>
  <si>
    <t>Exposed cables may cause short-curciut resulting in fire</t>
  </si>
  <si>
    <t>Visual inspection of cables</t>
  </si>
  <si>
    <t>ffd6365a-c4ea-4d2a-968d-49f87c042270</t>
  </si>
  <si>
    <t>53753078-7e68-4ca5-9649-c984369cba72</t>
  </si>
  <si>
    <t>cd0ccc65-b559-4f14-8a56-86c7b88a6b0f</t>
  </si>
  <si>
    <t>124df9a1-56d8-4a1e-88af-0e70f17c37da</t>
  </si>
  <si>
    <t>271d037b-4678-4d34-93e5-7c7ead71f9c1</t>
  </si>
  <si>
    <t>Resist water</t>
  </si>
  <si>
    <t>ecb8cffe-b530-4a17-80e7-1e22cf8d04b2</t>
  </si>
  <si>
    <t>a30774a1-b458-4765-93ea-45b73639f3dc</t>
  </si>
  <si>
    <t>00e54676-8ed3-413b-bafc-593de22c5d90</t>
  </si>
  <si>
    <t>62324250-a96a-4702-9f41-24fdc863d3cd</t>
  </si>
  <si>
    <t>2e9ef7c1-3818-4cd6-b41c-240ece33e0b0</t>
  </si>
  <si>
    <t>Stable power supply</t>
  </si>
  <si>
    <t>Sensor operation</t>
  </si>
  <si>
    <t>No water ingress</t>
  </si>
  <si>
    <t>be695d9f-dceb-41b3-9b63-c2ab05466038</t>
  </si>
  <si>
    <t>07a77171-76da-42f4-922a-65d53a6fde7f</t>
  </si>
  <si>
    <t>98e56b16-70c0-4904-b489-61394b71ae74</t>
  </si>
  <si>
    <t>Seal tear</t>
  </si>
  <si>
    <t>Mounted incorrectly</t>
  </si>
  <si>
    <t>Short circuit</t>
  </si>
  <si>
    <t>Signal cable loose</t>
  </si>
  <si>
    <t>Power/ground cable loose</t>
  </si>
  <si>
    <t>Sensor not operating</t>
  </si>
  <si>
    <t>Exposed to trauma or handled incorrectly</t>
  </si>
  <si>
    <t>The sensor has been exposed to external trauma or handled incorrectly</t>
  </si>
  <si>
    <t>Human error</t>
  </si>
  <si>
    <t>Loss of power/ground continuity , or cable is not connected</t>
  </si>
  <si>
    <t xml:space="preserve">Cabel not connected </t>
  </si>
  <si>
    <t>Loss of signal continuity inside cable</t>
  </si>
  <si>
    <t>Proper cable management</t>
  </si>
  <si>
    <t>Broken probe</t>
  </si>
  <si>
    <t>Coating on probe</t>
  </si>
  <si>
    <t xml:space="preserve"> Handle equipment with care</t>
  </si>
  <si>
    <t>Isolate cables</t>
  </si>
  <si>
    <t>Follow instructions</t>
  </si>
  <si>
    <t xml:space="preserve">Check that all cables are plugged in </t>
  </si>
  <si>
    <t>2=19;3=18;4=6;5=18;6=18;8=33;9=33;10=19;12=19;</t>
  </si>
  <si>
    <t>1=33;2=19;3=33;4=19;5=19;6=19;8=62;9=48;10=19;11=19;12=19;</t>
  </si>
  <si>
    <t>4=19;5=19;6=19;8=62;9=33;10=19;11=19;12=19;</t>
  </si>
  <si>
    <t>4=19;5=18;6=18;8=47;9=19;11=33;10=19;12=19;</t>
  </si>
  <si>
    <t>8=19;4=12;9=33;10=19;11=48;12=19;</t>
  </si>
  <si>
    <t>2=19;3=18;4=18;5=18;6=18;8=33;9=33;10=19;11=19;12=19;</t>
  </si>
  <si>
    <t>4=19;5=18;6=18;8=18;9=18;10=18;11=18;12=18;</t>
  </si>
  <si>
    <t>2=18;3=19;4=33;5=19;6=19;8=48;9=33;10=19;11=48;12=19;</t>
  </si>
  <si>
    <t>Wipe the probe between measurements*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</si>
</sst>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0.14999847407452621"/>
      <name val="Roboto"/>
    </font>
    <font>
      <sz val="20"/>
      <color theme="1" tint="0.1499984740745262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D4FF"/>
        <bgColor indexed="64"/>
      </patternFill>
    </fill>
  </fills>
  <borders count="7">
    <border>
      <left/>
      <right/>
      <top/>
      <bottom/>
      <diagonal/>
    </border>
    <border>
      <left style="thin">
        <color rgb="FF00388B"/>
      </left>
      <right style="thin">
        <color rgb="FF00388B"/>
      </right>
      <top style="thin">
        <color rgb="FF00388B"/>
      </top>
      <bottom style="thin">
        <color rgb="FF00388B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thin">
        <color rgb="FF00388B"/>
      </top>
      <bottom/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1" fontId="1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 shrinkToFit="1"/>
    </xf>
    <xf numFmtId="0" fontId="1" fillId="3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11" fontId="1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 shrinkToFit="1"/>
    </xf>
  </cellXfs>
  <cellStyles count="1">
    <cellStyle name="Normal" xfId="0" builtinId="0"/>
  </cellStyles>
  <dxfs count="6"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ustomProperty" Target="../customProperty4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B0D1-F2D0-4781-9E83-B7524765CCA4}">
  <dimension ref="A1:GS113"/>
  <sheetViews>
    <sheetView tabSelected="1" topLeftCell="A3" zoomScale="70" zoomScaleNormal="70" workbookViewId="0">
      <selection activeCell="N6" sqref="N6"/>
    </sheetView>
  </sheetViews>
  <sheetFormatPr defaultRowHeight="14.4" x14ac:dyDescent="0.3"/>
  <cols>
    <col min="1" max="1" width="17.33203125" style="1" customWidth="1"/>
    <col min="2" max="2" width="22.33203125" style="1" customWidth="1"/>
    <col min="3" max="3" width="20.33203125" style="1" customWidth="1"/>
    <col min="4" max="4" width="24.5546875" style="1" customWidth="1"/>
    <col min="5" max="5" width="25.5546875" style="1" customWidth="1"/>
    <col min="6" max="7" width="4.77734375" style="1" customWidth="1"/>
    <col min="8" max="8" width="24.77734375" style="1" customWidth="1"/>
    <col min="9" max="9" width="19.77734375" style="1" customWidth="1"/>
    <col min="10" max="10" width="4.77734375" style="1" customWidth="1"/>
    <col min="11" max="11" width="17.33203125" style="1" customWidth="1"/>
    <col min="12" max="13" width="4.77734375" style="1" customWidth="1"/>
    <col min="14" max="14" width="21.33203125" style="1" customWidth="1"/>
    <col min="15" max="15" width="17.33203125" style="1" customWidth="1"/>
    <col min="16" max="16" width="13.33203125" style="1" customWidth="1"/>
    <col min="17" max="17" width="8.88671875" style="1"/>
    <col min="18" max="21" width="4.77734375" style="1" customWidth="1"/>
    <col min="22" max="22" width="8.88671875" style="1"/>
    <col min="23" max="99" width="8.88671875" style="1" customWidth="1"/>
    <col min="100" max="100" width="8.88671875" style="1"/>
    <col min="101" max="101" width="39.21875" style="1" hidden="1" customWidth="1"/>
    <col min="102" max="102" width="33" style="1" hidden="1" customWidth="1"/>
    <col min="103" max="103" width="38.77734375" style="1" hidden="1" customWidth="1"/>
    <col min="104" max="104" width="40.109375" style="1" hidden="1" customWidth="1"/>
    <col min="105" max="106" width="38.77734375" style="1" hidden="1" customWidth="1"/>
    <col min="107" max="107" width="40.109375" style="1" hidden="1" customWidth="1"/>
    <col min="108" max="200" width="8.88671875" style="1"/>
    <col min="201" max="201" width="19.77734375" style="1" customWidth="1"/>
    <col min="202" max="16384" width="8.88671875" style="1"/>
  </cols>
  <sheetData>
    <row r="1" spans="1:107" ht="25.2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107" x14ac:dyDescent="0.3">
      <c r="A2" s="2" t="s">
        <v>1</v>
      </c>
      <c r="B2" s="23" t="s">
        <v>56</v>
      </c>
      <c r="C2" s="23"/>
      <c r="D2" s="23"/>
      <c r="E2" s="26" t="s">
        <v>2</v>
      </c>
      <c r="F2" s="26"/>
      <c r="G2" s="26"/>
      <c r="H2" s="23"/>
      <c r="I2" s="23"/>
      <c r="J2" s="23"/>
      <c r="K2" s="23"/>
      <c r="L2" s="23"/>
      <c r="M2" s="23"/>
      <c r="N2" s="23"/>
      <c r="O2" s="23"/>
      <c r="P2" s="2" t="s">
        <v>3</v>
      </c>
      <c r="Q2" s="23"/>
      <c r="R2" s="23"/>
      <c r="S2" s="23"/>
      <c r="T2" s="23"/>
      <c r="U2" s="2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</row>
    <row r="3" spans="1:107" x14ac:dyDescent="0.3">
      <c r="A3" s="2" t="s">
        <v>4</v>
      </c>
      <c r="B3" s="23"/>
      <c r="C3" s="23"/>
      <c r="D3" s="23"/>
      <c r="E3" s="2" t="s">
        <v>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" t="s">
        <v>6</v>
      </c>
      <c r="Q3" s="24">
        <v>45988</v>
      </c>
      <c r="R3" s="23"/>
      <c r="S3" s="2" t="s">
        <v>7</v>
      </c>
      <c r="T3" s="23"/>
      <c r="U3" s="2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</row>
    <row r="4" spans="1:107" x14ac:dyDescent="0.3">
      <c r="A4" s="28" t="s">
        <v>8</v>
      </c>
      <c r="B4" s="28" t="s">
        <v>9</v>
      </c>
      <c r="C4" s="28" t="s">
        <v>10</v>
      </c>
      <c r="D4" s="28" t="s">
        <v>11</v>
      </c>
      <c r="E4" s="28" t="s">
        <v>12</v>
      </c>
      <c r="F4" s="29" t="s">
        <v>13</v>
      </c>
      <c r="G4" s="30" t="s">
        <v>14</v>
      </c>
      <c r="H4" s="28" t="s">
        <v>15</v>
      </c>
      <c r="I4" s="28" t="s">
        <v>16</v>
      </c>
      <c r="J4" s="28"/>
      <c r="K4" s="28"/>
      <c r="L4" s="28"/>
      <c r="M4" s="30" t="s">
        <v>17</v>
      </c>
      <c r="N4" s="28" t="s">
        <v>18</v>
      </c>
      <c r="O4" s="28"/>
      <c r="P4" s="28"/>
      <c r="Q4" s="28"/>
      <c r="R4" s="27" t="s">
        <v>19</v>
      </c>
      <c r="S4" s="27"/>
      <c r="T4" s="27"/>
      <c r="U4" s="27"/>
    </row>
    <row r="5" spans="1:107" ht="86.4" customHeight="1" x14ac:dyDescent="0.3">
      <c r="A5" s="28"/>
      <c r="B5" s="28"/>
      <c r="C5" s="28"/>
      <c r="D5" s="28"/>
      <c r="E5" s="28"/>
      <c r="F5" s="29"/>
      <c r="G5" s="30"/>
      <c r="H5" s="28"/>
      <c r="I5" s="5" t="s">
        <v>20</v>
      </c>
      <c r="J5" s="6" t="s">
        <v>21</v>
      </c>
      <c r="K5" s="5" t="s">
        <v>22</v>
      </c>
      <c r="L5" s="7" t="s">
        <v>23</v>
      </c>
      <c r="M5" s="30"/>
      <c r="N5" s="5" t="s">
        <v>24</v>
      </c>
      <c r="O5" s="5" t="s">
        <v>25</v>
      </c>
      <c r="P5" s="5" t="s">
        <v>26</v>
      </c>
      <c r="Q5" s="5" t="s">
        <v>27</v>
      </c>
      <c r="R5" s="8" t="s">
        <v>13</v>
      </c>
      <c r="S5" s="8" t="s">
        <v>21</v>
      </c>
      <c r="T5" s="8" t="s">
        <v>23</v>
      </c>
      <c r="U5" s="8" t="s">
        <v>17</v>
      </c>
      <c r="CW5" s="1" t="s">
        <v>28</v>
      </c>
      <c r="CX5" s="1" t="s">
        <v>29</v>
      </c>
      <c r="CY5" s="1" t="s">
        <v>30</v>
      </c>
      <c r="CZ5" s="1" t="s">
        <v>31</v>
      </c>
      <c r="DA5" s="1" t="s">
        <v>32</v>
      </c>
      <c r="DB5" s="1" t="s">
        <v>33</v>
      </c>
      <c r="DC5" s="1" t="s">
        <v>34</v>
      </c>
    </row>
    <row r="6" spans="1:107" ht="61.95" customHeight="1" x14ac:dyDescent="0.3">
      <c r="A6" s="20" t="s">
        <v>36</v>
      </c>
      <c r="B6" s="20" t="s">
        <v>42</v>
      </c>
      <c r="C6" s="20" t="s">
        <v>43</v>
      </c>
      <c r="D6" s="10" t="s">
        <v>100</v>
      </c>
      <c r="E6" s="10" t="s">
        <v>54</v>
      </c>
      <c r="F6" s="10">
        <v>6</v>
      </c>
      <c r="G6" s="11"/>
      <c r="H6" s="10" t="s">
        <v>59</v>
      </c>
      <c r="I6" s="10" t="s">
        <v>60</v>
      </c>
      <c r="J6" s="10">
        <v>6</v>
      </c>
      <c r="K6" s="10" t="s">
        <v>61</v>
      </c>
      <c r="L6" s="11">
        <v>1</v>
      </c>
      <c r="M6" s="11">
        <f>IFERROR($F$6*$J$6*$L$6,"")</f>
        <v>36</v>
      </c>
      <c r="N6" s="10"/>
      <c r="O6" s="10"/>
      <c r="P6" s="10"/>
      <c r="Q6" s="10"/>
      <c r="R6" s="12"/>
      <c r="S6" s="12"/>
      <c r="T6" s="12"/>
      <c r="U6" s="10">
        <f>IFERROR($R$6*$S$6*$T$6,"")</f>
        <v>0</v>
      </c>
      <c r="CW6" s="16" t="s">
        <v>35</v>
      </c>
      <c r="CX6" s="13" t="s">
        <v>106</v>
      </c>
      <c r="CY6" s="19" t="s">
        <v>37</v>
      </c>
      <c r="CZ6" s="16" t="s">
        <v>38</v>
      </c>
      <c r="DA6" s="1" t="s">
        <v>39</v>
      </c>
      <c r="DB6" s="1" t="s">
        <v>40</v>
      </c>
      <c r="DC6" s="1" t="s">
        <v>41</v>
      </c>
    </row>
    <row r="7" spans="1:107" ht="61.95" customHeight="1" x14ac:dyDescent="0.3">
      <c r="A7" s="21"/>
      <c r="B7" s="21"/>
      <c r="C7" s="21"/>
      <c r="D7" s="10" t="s">
        <v>99</v>
      </c>
      <c r="E7" s="10" t="s">
        <v>55</v>
      </c>
      <c r="F7" s="10">
        <v>10</v>
      </c>
      <c r="G7" s="11"/>
      <c r="H7" s="10" t="s">
        <v>93</v>
      </c>
      <c r="I7" s="10" t="s">
        <v>101</v>
      </c>
      <c r="J7" s="10">
        <v>2</v>
      </c>
      <c r="K7" s="10" t="s">
        <v>61</v>
      </c>
      <c r="L7" s="11">
        <v>1</v>
      </c>
      <c r="M7" s="11">
        <f>IFERROR($F$7*$J$7*$L$7,"")</f>
        <v>20</v>
      </c>
      <c r="N7" s="10"/>
      <c r="O7" s="10"/>
      <c r="P7" s="10"/>
      <c r="Q7" s="10"/>
      <c r="R7" s="12"/>
      <c r="S7" s="12"/>
      <c r="T7" s="12"/>
      <c r="U7" s="10">
        <f>IFERROR($R$7*$S$7*$T$7,"")</f>
        <v>0</v>
      </c>
      <c r="CW7" s="16"/>
      <c r="CX7" s="1" t="s">
        <v>107</v>
      </c>
      <c r="CY7" s="19"/>
      <c r="CZ7" s="16"/>
      <c r="DA7" s="1" t="s">
        <v>44</v>
      </c>
      <c r="DB7" s="4" t="s">
        <v>45</v>
      </c>
      <c r="DC7" s="1" t="s">
        <v>46</v>
      </c>
    </row>
    <row r="8" spans="1:107" ht="46.95" customHeight="1" x14ac:dyDescent="0.3">
      <c r="A8" s="21"/>
      <c r="B8" s="15"/>
      <c r="C8" s="15"/>
      <c r="D8" s="10" t="s">
        <v>65</v>
      </c>
      <c r="E8" s="10" t="s">
        <v>66</v>
      </c>
      <c r="F8" s="10">
        <v>10</v>
      </c>
      <c r="G8" s="11"/>
      <c r="H8" s="10" t="s">
        <v>67</v>
      </c>
      <c r="I8" s="10" t="s">
        <v>102</v>
      </c>
      <c r="J8" s="10">
        <v>2</v>
      </c>
      <c r="K8" s="10" t="s">
        <v>68</v>
      </c>
      <c r="L8" s="11">
        <v>1</v>
      </c>
      <c r="M8" s="11">
        <f>IFERROR($F$8*$J$8*$L$8,"")</f>
        <v>20</v>
      </c>
      <c r="N8" s="10"/>
      <c r="O8" s="10"/>
      <c r="P8" s="10"/>
      <c r="Q8" s="10"/>
      <c r="R8" s="12"/>
      <c r="S8" s="12"/>
      <c r="T8" s="12"/>
      <c r="U8" s="10">
        <f>IFERROR($R$8*$S$8*$T$8,"")</f>
        <v>0</v>
      </c>
      <c r="CW8" s="16"/>
      <c r="CX8" s="1" t="s">
        <v>108</v>
      </c>
      <c r="CY8" s="19"/>
      <c r="CZ8" s="16"/>
      <c r="DA8" s="1" t="s">
        <v>62</v>
      </c>
      <c r="DB8" s="4" t="s">
        <v>63</v>
      </c>
      <c r="DC8" s="1" t="s">
        <v>64</v>
      </c>
    </row>
    <row r="9" spans="1:107" ht="33" customHeight="1" x14ac:dyDescent="0.3">
      <c r="A9" s="21"/>
      <c r="B9" s="14" t="s">
        <v>52</v>
      </c>
      <c r="C9" s="14" t="s">
        <v>53</v>
      </c>
      <c r="D9" s="14" t="s">
        <v>89</v>
      </c>
      <c r="E9" s="14" t="s">
        <v>55</v>
      </c>
      <c r="F9" s="14">
        <v>10</v>
      </c>
      <c r="G9" s="17"/>
      <c r="H9" s="10" t="s">
        <v>97</v>
      </c>
      <c r="I9" s="10" t="s">
        <v>98</v>
      </c>
      <c r="J9" s="10">
        <v>1</v>
      </c>
      <c r="K9" s="10"/>
      <c r="L9" s="11">
        <v>8</v>
      </c>
      <c r="M9" s="11">
        <f>IFERROR($F$9*$J$9*$L$9,"")</f>
        <v>80</v>
      </c>
      <c r="N9" s="10"/>
      <c r="O9" s="10"/>
      <c r="P9" s="10"/>
      <c r="Q9" s="10"/>
      <c r="R9" s="12"/>
      <c r="S9" s="12"/>
      <c r="T9" s="12"/>
      <c r="U9" s="10">
        <f>IFERROR($R$9*$S$9*$T$9,"")</f>
        <v>0</v>
      </c>
      <c r="CW9" s="16"/>
      <c r="CX9" s="1" t="s">
        <v>105</v>
      </c>
      <c r="CY9" s="19" t="s">
        <v>47</v>
      </c>
      <c r="CZ9" s="16" t="s">
        <v>48</v>
      </c>
      <c r="DA9" s="16" t="s">
        <v>49</v>
      </c>
      <c r="DB9" s="4" t="s">
        <v>50</v>
      </c>
      <c r="DC9" s="1" t="s">
        <v>51</v>
      </c>
    </row>
    <row r="10" spans="1:107" ht="48" customHeight="1" x14ac:dyDescent="0.3">
      <c r="A10" s="21"/>
      <c r="B10" s="15"/>
      <c r="C10" s="15"/>
      <c r="D10" s="15"/>
      <c r="E10" s="15"/>
      <c r="F10" s="15"/>
      <c r="G10" s="18"/>
      <c r="H10" s="10" t="s">
        <v>96</v>
      </c>
      <c r="I10" s="10" t="s">
        <v>98</v>
      </c>
      <c r="J10" s="10">
        <v>5</v>
      </c>
      <c r="K10" s="10" t="s">
        <v>104</v>
      </c>
      <c r="L10" s="11">
        <v>4</v>
      </c>
      <c r="M10" s="11">
        <f>IFERROR($F$9*$J$10*$L$10,"")</f>
        <v>200</v>
      </c>
      <c r="N10" s="10"/>
      <c r="O10" s="10"/>
      <c r="P10" s="10"/>
      <c r="Q10" s="10"/>
      <c r="R10" s="12"/>
      <c r="S10" s="12"/>
      <c r="T10" s="12"/>
      <c r="U10" s="10">
        <f>IFERROR($R$10*$S$10*$T$10,"")</f>
        <v>0</v>
      </c>
      <c r="CW10" s="16"/>
      <c r="CX10" s="1" t="s">
        <v>109</v>
      </c>
      <c r="CY10" s="19"/>
      <c r="CZ10" s="16"/>
      <c r="DA10" s="16"/>
      <c r="DB10" s="4" t="s">
        <v>57</v>
      </c>
      <c r="DC10" s="1" t="s">
        <v>58</v>
      </c>
    </row>
    <row r="11" spans="1:107" ht="33" customHeight="1" x14ac:dyDescent="0.3">
      <c r="A11" s="21"/>
      <c r="B11" s="14" t="s">
        <v>74</v>
      </c>
      <c r="C11" s="14" t="s">
        <v>82</v>
      </c>
      <c r="D11" s="10" t="s">
        <v>86</v>
      </c>
      <c r="E11" s="10" t="s">
        <v>88</v>
      </c>
      <c r="F11" s="10">
        <v>10</v>
      </c>
      <c r="G11" s="11"/>
      <c r="H11" s="10" t="s">
        <v>92</v>
      </c>
      <c r="I11" s="10" t="s">
        <v>101</v>
      </c>
      <c r="J11" s="10">
        <v>1</v>
      </c>
      <c r="K11" s="10" t="s">
        <v>61</v>
      </c>
      <c r="L11" s="11">
        <v>2</v>
      </c>
      <c r="M11" s="11">
        <f>IFERROR($F$11*$J$11*$L$11,"")</f>
        <v>20</v>
      </c>
      <c r="N11" s="10"/>
      <c r="O11" s="10"/>
      <c r="P11" s="10"/>
      <c r="Q11" s="10"/>
      <c r="R11" s="12"/>
      <c r="S11" s="12"/>
      <c r="T11" s="12"/>
      <c r="U11" s="10">
        <f>IFERROR($R$11*$S$11*$T$11,"")</f>
        <v>0</v>
      </c>
      <c r="CW11" s="16"/>
      <c r="CX11" s="1" t="s">
        <v>110</v>
      </c>
      <c r="CY11" s="19" t="s">
        <v>69</v>
      </c>
      <c r="CZ11" s="16" t="s">
        <v>70</v>
      </c>
      <c r="DA11" s="1" t="s">
        <v>71</v>
      </c>
      <c r="DB11" s="4" t="s">
        <v>72</v>
      </c>
      <c r="DC11" s="1" t="s">
        <v>73</v>
      </c>
    </row>
    <row r="12" spans="1:107" ht="19.05" customHeight="1" x14ac:dyDescent="0.3">
      <c r="A12" s="22"/>
      <c r="B12" s="15"/>
      <c r="C12" s="15"/>
      <c r="D12" s="10" t="s">
        <v>87</v>
      </c>
      <c r="E12" s="10" t="s">
        <v>88</v>
      </c>
      <c r="F12" s="10">
        <v>10</v>
      </c>
      <c r="G12" s="11"/>
      <c r="H12" s="10" t="s">
        <v>94</v>
      </c>
      <c r="I12" s="10" t="s">
        <v>103</v>
      </c>
      <c r="J12" s="10">
        <v>4</v>
      </c>
      <c r="K12" s="10" t="s">
        <v>61</v>
      </c>
      <c r="L12" s="11">
        <v>2</v>
      </c>
      <c r="M12" s="11">
        <f>IFERROR($F$12*$J$12*$L$12,"")</f>
        <v>80</v>
      </c>
      <c r="N12" s="10"/>
      <c r="O12" s="10"/>
      <c r="P12" s="10"/>
      <c r="Q12" s="10"/>
      <c r="R12" s="12"/>
      <c r="S12" s="12"/>
      <c r="T12" s="12"/>
      <c r="U12" s="10">
        <f>IFERROR($R$12*$S$12*$T$12,"")</f>
        <v>0</v>
      </c>
      <c r="CW12" s="16"/>
      <c r="CX12" s="1" t="s">
        <v>111</v>
      </c>
      <c r="CY12" s="19"/>
      <c r="CZ12" s="16"/>
      <c r="DA12" s="1" t="s">
        <v>83</v>
      </c>
      <c r="DB12" s="4" t="s">
        <v>84</v>
      </c>
      <c r="DC12" s="1" t="s">
        <v>85</v>
      </c>
    </row>
    <row r="13" spans="1:107" ht="48" customHeight="1" x14ac:dyDescent="0.3">
      <c r="A13" s="15"/>
      <c r="B13" s="10" t="s">
        <v>81</v>
      </c>
      <c r="C13" s="10" t="s">
        <v>80</v>
      </c>
      <c r="D13" s="10" t="s">
        <v>90</v>
      </c>
      <c r="E13" s="10" t="s">
        <v>91</v>
      </c>
      <c r="F13" s="10">
        <v>10</v>
      </c>
      <c r="G13" s="11"/>
      <c r="H13" s="10" t="s">
        <v>95</v>
      </c>
      <c r="I13" s="10" t="s">
        <v>98</v>
      </c>
      <c r="J13" s="10">
        <v>5</v>
      </c>
      <c r="K13" s="10" t="s">
        <v>104</v>
      </c>
      <c r="L13" s="11">
        <v>4</v>
      </c>
      <c r="M13" s="11">
        <f>IFERROR($F$13*$J$13*$L$13,"")</f>
        <v>200</v>
      </c>
      <c r="N13" s="10"/>
      <c r="O13" s="10"/>
      <c r="P13" s="10"/>
      <c r="Q13" s="10"/>
      <c r="R13" s="12"/>
      <c r="S13" s="12"/>
      <c r="T13" s="12"/>
      <c r="U13" s="10">
        <f>IFERROR($R$13*$S$13*$T$13,"")</f>
        <v>0</v>
      </c>
      <c r="CW13" s="16"/>
      <c r="CX13" s="1" t="s">
        <v>112</v>
      </c>
      <c r="CY13" s="4" t="s">
        <v>75</v>
      </c>
      <c r="CZ13" s="1" t="s">
        <v>76</v>
      </c>
      <c r="DA13" s="4" t="s">
        <v>77</v>
      </c>
      <c r="DB13" s="4" t="s">
        <v>78</v>
      </c>
      <c r="DC13" s="1" t="s">
        <v>79</v>
      </c>
    </row>
    <row r="113" spans="201:201" ht="43.2" x14ac:dyDescent="0.3">
      <c r="GS113" s="9" t="s">
        <v>113</v>
      </c>
    </row>
  </sheetData>
  <mergeCells count="40">
    <mergeCell ref="I4:L4"/>
    <mergeCell ref="M4:M5"/>
    <mergeCell ref="N4:Q4"/>
    <mergeCell ref="A1:U1"/>
    <mergeCell ref="B2:D2"/>
    <mergeCell ref="E2:G2"/>
    <mergeCell ref="H2:O2"/>
    <mergeCell ref="Q2:U2"/>
    <mergeCell ref="CZ6:CZ8"/>
    <mergeCell ref="C6:C8"/>
    <mergeCell ref="A6:A13"/>
    <mergeCell ref="B3:D3"/>
    <mergeCell ref="F3:O3"/>
    <mergeCell ref="Q3:R3"/>
    <mergeCell ref="T3:U3"/>
    <mergeCell ref="R4:U4"/>
    <mergeCell ref="A4:A5"/>
    <mergeCell ref="B4:B5"/>
    <mergeCell ref="C4:C5"/>
    <mergeCell ref="D4:D5"/>
    <mergeCell ref="E4:E5"/>
    <mergeCell ref="F4:F5"/>
    <mergeCell ref="G4:G5"/>
    <mergeCell ref="H4:H5"/>
    <mergeCell ref="B11:B12"/>
    <mergeCell ref="CZ11:CZ12"/>
    <mergeCell ref="C11:C12"/>
    <mergeCell ref="DA9:DA10"/>
    <mergeCell ref="D9:D10"/>
    <mergeCell ref="E9:E10"/>
    <mergeCell ref="F9:F10"/>
    <mergeCell ref="G9:G10"/>
    <mergeCell ref="CW6:CW13"/>
    <mergeCell ref="CY11:CY12"/>
    <mergeCell ref="CY9:CY10"/>
    <mergeCell ref="B9:B10"/>
    <mergeCell ref="CZ9:CZ10"/>
    <mergeCell ref="C9:C10"/>
    <mergeCell ref="CY6:CY8"/>
    <mergeCell ref="B6:B8"/>
  </mergeCells>
  <conditionalFormatting sqref="M6:M13">
    <cfRule type="cellIs" dxfId="5" priority="4" stopIfTrue="1" operator="greaterThanOrEqual">
      <formula>180</formula>
    </cfRule>
    <cfRule type="cellIs" dxfId="4" priority="5" stopIfTrue="1" operator="greaterThanOrEqual">
      <formula>100</formula>
    </cfRule>
    <cfRule type="cellIs" dxfId="3" priority="6" stopIfTrue="1" operator="lessThan">
      <formula>100</formula>
    </cfRule>
  </conditionalFormatting>
  <conditionalFormatting sqref="U6:U13">
    <cfRule type="cellIs" dxfId="2" priority="1" stopIfTrue="1" operator="greaterThanOrEqual">
      <formula>180</formula>
    </cfRule>
    <cfRule type="cellIs" dxfId="1" priority="2" stopIfTrue="1" operator="greaterThanOrEqual">
      <formula>100</formula>
    </cfRule>
    <cfRule type="cellIs" dxfId="0" priority="3" stopIfTrue="1" operator="lessThan">
      <formula>100</formula>
    </cfRule>
  </conditionalFormatting>
  <pageMargins left="0.7" right="0.7" top="0.75" bottom="0.75" header="0.3" footer="0.3"/>
  <pageSetup orientation="portrait" verticalDpi="0" r:id="rId1"/>
  <customProperties>
    <customPr name="IQAS_15E6C2A96BF1493B9BC6C01EAC71A3C7" r:id="rId2"/>
    <customPr name="IQAS_1A0AC2F29ABF485288E328A34866BB07" r:id="rId3"/>
    <customPr name="IQAS_6D667CE7C4EC4CD9A46233590DB7F1B7" r:id="rId4"/>
    <customPr name="IQAS_BF13B60CEB74473AB99350021FC0E707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32708280BC8A42B7341D4F7437EA75" ma:contentTypeVersion="11" ma:contentTypeDescription="Create a new document." ma:contentTypeScope="" ma:versionID="c86d4850e83836637b61dfce7d4ac622">
  <xsd:schema xmlns:xsd="http://www.w3.org/2001/XMLSchema" xmlns:xs="http://www.w3.org/2001/XMLSchema" xmlns:p="http://schemas.microsoft.com/office/2006/metadata/properties" xmlns:ns3="4b027adf-aee7-4a66-ab16-52c1155bcbe4" xmlns:ns4="81392931-d37f-4910-b5dd-a71e54bd1073" targetNamespace="http://schemas.microsoft.com/office/2006/metadata/properties" ma:root="true" ma:fieldsID="6dccfd5ddec7f791a1e3efc100e068e8" ns3:_="" ns4:_="">
    <xsd:import namespace="4b027adf-aee7-4a66-ab16-52c1155bcbe4"/>
    <xsd:import namespace="81392931-d37f-4910-b5dd-a71e54bd10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Billing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7adf-aee7-4a66-ab16-52c1155bc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92931-d37f-4910-b5dd-a71e54bd10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677D0E-6F9A-4CD5-A630-1E7BED1C6A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251D8D-9D7F-4FC7-B24A-59F07AF85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27adf-aee7-4a66-ab16-52c1155bcbe4"/>
    <ds:schemaRef ds:uri="81392931-d37f-4910-b5dd-a71e54bd1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42F24B-D7C2-4938-930D-30759014B204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81392931-d37f-4910-b5dd-a71e54bd1073"/>
    <ds:schemaRef ds:uri="4b027adf-aee7-4a66-ab16-52c1155bcbe4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453408b-a6cd-4c1e-8b10-18b500fb544e}" enabled="0" method="" siteId="{5453408b-a6cd-4c1e-8b10-18b500fb54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DFMEA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Tilda Johannesson</dc:creator>
  <cp:lastModifiedBy>Tilda Johannesson</cp:lastModifiedBy>
  <dcterms:created xsi:type="dcterms:W3CDTF">2021-11-29T07:14:04Z</dcterms:created>
  <dcterms:modified xsi:type="dcterms:W3CDTF">2025-11-28T08:47:29Z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QAS_F1DDDE42334D4DE6B0D96DB9AFD69F86">
    <vt:bool>false</vt:bool>
  </property>
  <property fmtid="{D5CDD505-2E9C-101B-9397-08002B2CF9AE}" pid="3" name="ContentTypeId">
    <vt:lpwstr>0x010100E732708280BC8A42B7341D4F7437EA75</vt:lpwstr>
  </property>
</Properties>
</file>